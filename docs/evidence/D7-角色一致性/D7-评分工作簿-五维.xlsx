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7评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FF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FFDE68"/>
      </patternFill>
    </fill>
    <fill>
      <patternFill patternType="solid">
        <fgColor rgb="FF203B5B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11" customWidth="1" min="4" max="4"/>
    <col width="26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20" customWidth="1" min="13" max="13"/>
    <col width="40" customWidth="1" min="14" max="14"/>
  </cols>
  <sheetData>
    <row r="1">
      <c r="A1" s="1" t="inlineStr">
        <is>
          <t>D7 · 独立评分模板（五维 + 合规红线一票否决，2026-10-11 修订）</t>
        </is>
      </c>
    </row>
    <row r="2">
      <c r="A2" t="inlineStr">
        <is>
          <t>只填黄色格子；提交前不看对方结果。未评留空，不填 0。「是否通过」由公式自动判定，不要手改。</t>
        </is>
      </c>
    </row>
    <row r="3">
      <c r="A3" t="inlineStr">
        <is>
          <t>评审人</t>
        </is>
      </c>
      <c r="B3" s="2" t="inlineStr">
        <is>
          <t>二 科</t>
        </is>
      </c>
      <c r="C3" t="inlineStr">
        <is>
          <t>评分日期</t>
        </is>
      </c>
      <c r="D3" s="2" t="inlineStr">
        <is>
          <t>2026-10-11</t>
        </is>
      </c>
    </row>
    <row r="5">
      <c r="A5" s="3" t="inlineStr">
        <is>
          <t>ID</t>
        </is>
      </c>
      <c r="B5" s="3" t="inlineStr">
        <is>
          <t>风格</t>
        </is>
      </c>
      <c r="C5" s="3" t="inlineStr">
        <is>
          <t>创意</t>
        </is>
      </c>
      <c r="D5" s="3" t="inlineStr">
        <is>
          <t>状态</t>
        </is>
      </c>
      <c r="E5" s="3" t="inlineStr">
        <is>
          <t>模型/版本</t>
        </is>
      </c>
      <c r="F5" s="3" t="inlineStr">
        <is>
          <t>含配音字幕</t>
        </is>
      </c>
      <c r="G5" s="3" t="inlineStr">
        <is>
          <t>需求符合</t>
        </is>
      </c>
      <c r="H5" s="3" t="inlineStr">
        <is>
          <t>人物一致</t>
        </is>
      </c>
      <c r="I5" s="3" t="inlineStr">
        <is>
          <t>画面质量</t>
        </is>
      </c>
      <c r="J5" s="3" t="inlineStr">
        <is>
          <t>镜头运动</t>
        </is>
      </c>
      <c r="K5" s="3" t="inlineStr">
        <is>
          <t>配音字幕</t>
        </is>
      </c>
      <c r="L5" s="3" t="inlineStr">
        <is>
          <t>合规红线</t>
        </is>
      </c>
      <c r="M5" s="3" t="inlineStr">
        <is>
          <t>是否通过</t>
        </is>
      </c>
      <c r="N5" s="3" t="inlineStr">
        <is>
          <t>问题时间点与说明</t>
        </is>
      </c>
    </row>
    <row r="6" ht="60" customHeight="1">
      <c r="A6" s="4" t="inlineStr">
        <is>
          <t>S1</t>
        </is>
      </c>
      <c r="B6" s="4" t="inlineStr">
        <is>
          <t>温情</t>
        </is>
      </c>
      <c r="C6" s="4" t="inlineStr">
        <is>
          <t>一只流浪猫在雨夜被好心人收留</t>
        </is>
      </c>
      <c r="D6" s="4" t="inlineStr">
        <is>
          <t>已有成片</t>
        </is>
      </c>
      <c r="E6" s="4" t="inlineStr">
        <is>
          <t>kling-v3-omni 1080P + Seedream 5.0 Pro（2026-10-11）</t>
        </is>
      </c>
      <c r="F6" s="5" t="inlineStr">
        <is>
          <t>是</t>
        </is>
      </c>
      <c r="G6" s="5" t="n">
        <v>3</v>
      </c>
      <c r="H6" s="5" t="n">
        <v>2</v>
      </c>
      <c r="I6" s="5" t="n">
        <v>2</v>
      </c>
      <c r="J6" s="5" t="n">
        <v>2</v>
      </c>
      <c r="K6" s="5" t="n">
        <v>2</v>
      </c>
      <c r="L6" s="5" t="inlineStr">
        <is>
          <t>不通过</t>
        </is>
      </c>
      <c r="M6" s="6">
        <f>IF(L6="不通过","不通过（合规一票否决）",IF(OR(F6="",G6="",H6="",I6="",J6="",K6="",L6=""),"待填",IF(OR(L6&lt;&gt;"通过",COUNT(G6:J6)&lt;4,AND(F6="是",NOT(ISNUMBER(K6))),AND(F6="否",K6&lt;&gt;"不适用"),COUNTIF(G6:K6,"&gt;3")&gt;0,COUNTIF(G6:K6,"&lt;1")&gt;0),"填写有误",IF(AND(COUNTIF(G6:K6,1)=0,AVERAGE(G6:K6)&gt;=2),"通过","不通过"))))</f>
        <v/>
      </c>
      <c r="N6" s="5" t="inlineStr">
        <is>
          <t>合规不通过：第5镜女孩用毯子把猫头整个盖住（提示词只写盖在猫身上，原片如此，非合成问题）；第4镜猫眼变绿（定妆图为琥珀色）、猫头抽动两下；第3镜女孩开头只露出一部分、隔雨玻璃偏软。 2026-10-11 后配了旁白台词和烧录字幕，见 final-vo.mp4。</t>
        </is>
      </c>
    </row>
    <row r="7" ht="60" customHeight="1">
      <c r="A7" s="4" t="inlineStr">
        <is>
          <t>S2</t>
        </is>
      </c>
      <c r="B7" s="4" t="inlineStr">
        <is>
          <t>科幻</t>
        </is>
      </c>
      <c r="C7" s="4" t="inlineStr">
        <is>
          <t>火星基地的清洁机器人第一次看到地球</t>
        </is>
      </c>
      <c r="D7" s="4" t="inlineStr">
        <is>
          <t>已有成片</t>
        </is>
      </c>
      <c r="E7" s="4" t="inlineStr">
        <is>
          <t>kling-v3-omni 1080P + Seedream 5.0 Pro（2026-10-11）</t>
        </is>
      </c>
      <c r="F7" s="5" t="inlineStr">
        <is>
          <t>是</t>
        </is>
      </c>
      <c r="G7" s="5" t="n">
        <v>2</v>
      </c>
      <c r="H7" s="5" t="n">
        <v>3</v>
      </c>
      <c r="I7" s="5" t="n">
        <v>2</v>
      </c>
      <c r="J7" s="5" t="n">
        <v>2</v>
      </c>
      <c r="K7" s="5" t="n">
        <v>2</v>
      </c>
      <c r="L7" s="5" t="inlineStr">
        <is>
          <t>通过</t>
        </is>
      </c>
      <c r="M7" s="6">
        <f>IF(L7="不通过","不通过（合规一票否决）",IF(OR(F7="",G7="",H7="",I7="",J7="",K7="",L7=""),"待填",IF(OR(L7&lt;&gt;"通过",COUNT(G7:J7)&lt;4,AND(F7="是",NOT(ISNUMBER(K7))),AND(F7="否",K7&lt;&gt;"不适用"),COUNTIF(G7:K7,"&gt;3")&gt;0,COUNTIF(G7:K7,"&lt;1")&gt;0),"填写有误",IF(AND(COUNTIF(G7:K7,1)=0,AVERAGE(G7:K7)&gt;=2),"通过","不通过"))))</f>
        <v/>
      </c>
      <c r="N7" s="5" t="inlineStr">
        <is>
          <t>第1镜机器人太小；第4镜约2.7s起地面沙石滑动像融化；第5镜近乎静止、偏暗偏软、机器人偏左且颜色变冷（以上来自逐镜检查） 2026-10-11 后配了旁白台词和烧录字幕，见 final-vo.mp4。</t>
        </is>
      </c>
    </row>
    <row r="8" ht="60" customHeight="1">
      <c r="A8" s="4" t="inlineStr">
        <is>
          <t>S3</t>
        </is>
      </c>
      <c r="B8" s="4" t="inlineStr">
        <is>
          <t>悬疑</t>
        </is>
      </c>
      <c r="C8" s="4" t="inlineStr">
        <is>
          <t>深夜便利店的神秘顾客反复买同一把黑伞</t>
        </is>
      </c>
      <c r="D8" s="4" t="inlineStr">
        <is>
          <t>已有成片</t>
        </is>
      </c>
      <c r="E8" s="4" t="inlineStr">
        <is>
          <t>kling-v3-omni 1080P + Seedream 5.0 Pro（2026-10-11）</t>
        </is>
      </c>
      <c r="F8" s="5" t="inlineStr">
        <is>
          <t>是</t>
        </is>
      </c>
      <c r="G8" s="5" t="n">
        <v>2</v>
      </c>
      <c r="H8" s="5" t="n">
        <v>3</v>
      </c>
      <c r="I8" s="5" t="n">
        <v>2</v>
      </c>
      <c r="J8" s="5" t="n">
        <v>2</v>
      </c>
      <c r="K8" s="5" t="n">
        <v>2</v>
      </c>
      <c r="L8" s="5" t="inlineStr">
        <is>
          <t>通过</t>
        </is>
      </c>
      <c r="M8" s="6">
        <f>IF(L8="不通过","不通过（合规一票否决）",IF(OR(F8="",G8="",H8="",I8="",J8="",K8="",L8=""),"待填",IF(OR(L8&lt;&gt;"通过",COUNT(G8:J8)&lt;4,AND(F8="是",NOT(ISNUMBER(K8))),AND(F8="否",K8&lt;&gt;"不适用"),COUNTIF(G8:K8,"&gt;3")&gt;0,COUNTIF(G8:K8,"&lt;1")&gt;0),"填写有误",IF(AND(COUNTIF(G8:K8,1)=0,AVERAGE(G8:K8)&gt;=2),"通过","不通过"))))</f>
        <v/>
      </c>
      <c r="N8" s="5" t="inlineStr">
        <is>
          <t>第2镜跑偏：街上撑开伞走进另一家店；第3镜4把伞且伞尖立着、背景与第1镜不一致；第4镜背景为纯灰；第5镜鱼眼变形、首秒近黑、招牌乱码、运镜方向相反（第1–4镜为第一轮生成，第5镜为复用后补） 2026-10-11 后配了旁白台词和烧录字幕，见 final-vo.mp4。</t>
        </is>
      </c>
    </row>
    <row r="9" ht="60" customHeight="1">
      <c r="A9" s="4" t="inlineStr">
        <is>
          <t>S4</t>
        </is>
      </c>
      <c r="B9" s="4" t="inlineStr">
        <is>
          <t>古风</t>
        </is>
      </c>
      <c r="C9" s="4" t="inlineStr">
        <is>
          <t>竹林里会说话的狐狸守护茶亭</t>
        </is>
      </c>
      <c r="D9" s="4" t="inlineStr">
        <is>
          <t>已有成片</t>
        </is>
      </c>
      <c r="E9" s="4" t="inlineStr">
        <is>
          <t>kling-v3-omni 1080P + Seedream 5.0 Pro（2026-10-11）</t>
        </is>
      </c>
      <c r="F9" s="5" t="inlineStr">
        <is>
          <t>是</t>
        </is>
      </c>
      <c r="G9" s="5" t="n">
        <v>2</v>
      </c>
      <c r="H9" s="5" t="n">
        <v>3</v>
      </c>
      <c r="I9" s="5" t="n">
        <v>2</v>
      </c>
      <c r="J9" s="5" t="n">
        <v>2</v>
      </c>
      <c r="K9" s="5" t="n">
        <v>2</v>
      </c>
      <c r="L9" s="5" t="inlineStr">
        <is>
          <t>通过</t>
        </is>
      </c>
      <c r="M9" s="6">
        <f>IF(L9="不通过","不通过（合规一票否决）",IF(OR(F9="",G9="",H9="",I9="",J9="",K9="",L9=""),"待填",IF(OR(L9&lt;&gt;"通过",COUNT(G9:J9)&lt;4,AND(F9="是",NOT(ISNUMBER(K9))),AND(F9="否",K9&lt;&gt;"不适用"),COUNTIF(G9:K9,"&gt;3")&gt;0,COUNTIF(G9:K9,"&lt;1")&gt;0),"填写有误",IF(AND(COUNTIF(G9:K9,1)=0,AVERAGE(G9:K9)&gt;=2),"通过","不通过"))))</f>
        <v/>
      </c>
      <c r="N9" s="5" t="inlineStr">
        <is>
          <t>第2镜狐狸背对镜头走、边缘竹子扭曲；第3镜站起两腿走路（定妆图即为站立狐狸）；第4镜茶壶冒黑烟；第5镜仍是黄昏、灯笼一开始就亮、运镜推近而非拉远、狐狸约1s凭空出现（以上来自逐镜检查） 2026-10-11 后配了旁白台词和烧录字幕，见 final-vo.mp4。</t>
        </is>
      </c>
    </row>
    <row r="10" ht="60" customHeight="1">
      <c r="A10" s="4" t="inlineStr">
        <is>
          <t>S5</t>
        </is>
      </c>
      <c r="B10" s="4" t="inlineStr">
        <is>
          <t>喜剧</t>
        </is>
      </c>
      <c r="C10" s="4" t="inlineStr">
        <is>
          <t>外卖小哥送餐路上遇到各种离谱事</t>
        </is>
      </c>
      <c r="D10" s="4" t="inlineStr">
        <is>
          <t>已有成片</t>
        </is>
      </c>
      <c r="E10" s="4" t="inlineStr">
        <is>
          <t>kling-v3-omni 1080P + Seedream 5.0 Pro（2026-10-11）</t>
        </is>
      </c>
      <c r="F10" s="5" t="inlineStr">
        <is>
          <t>是</t>
        </is>
      </c>
      <c r="G10" s="5" t="n">
        <v>1</v>
      </c>
      <c r="H10" s="5" t="n">
        <v>2</v>
      </c>
      <c r="I10" s="5" t="n">
        <v>2</v>
      </c>
      <c r="J10" s="5" t="n">
        <v>2</v>
      </c>
      <c r="K10" s="5" t="n">
        <v>2</v>
      </c>
      <c r="L10" s="5" t="inlineStr">
        <is>
          <t>通过</t>
        </is>
      </c>
      <c r="M10" s="6">
        <f>IF(L10="不通过","不通过（合规一票否决）",IF(OR(F10="",G10="",H10="",I10="",J10="",K10="",L10=""),"待填",IF(OR(L10&lt;&gt;"通过",COUNT(G10:J10)&lt;4,AND(F10="是",NOT(ISNUMBER(K10))),AND(F10="否",K10&lt;&gt;"不适用"),COUNTIF(G10:K10,"&gt;3")&gt;0,COUNTIF(G10:K10,"&lt;1")&gt;0),"填写有误",IF(AND(COUNTIF(G10:K10,1)=0,AVERAGE(G10:K10)&gt;=2),"通过","不通过"))))</f>
        <v/>
      </c>
      <c r="N10" s="5" t="inlineStr">
        <is>
          <t>用户评：骑手像倒着骑车；开盒后是空的，人物干等很久；鹅毛不是从盒里出来而是不知哪里飘出；剧情莫名其妙。逐镜检查：第2、3镜出现两只鹅且整只鹅坐在箱内；第2镜白天与第1镜雨夜不连贯；第3镜开头车被右边缘切掉；第4镜头盔变古铜色（应为银色）。 2026-10-11 后配了旁白台词和烧录字幕，见 final-vo.mp4。</t>
        </is>
      </c>
    </row>
    <row r="12">
      <c r="A12" t="inlineStr">
        <is>
          <t>通过条数</t>
        </is>
      </c>
      <c r="B12">
        <f>COUNTIF(M6:M10,"通过")</f>
        <v/>
      </c>
      <c r="C12" t="inlineStr">
        <is>
          <t>（待填 / 填写有误 不计入）</t>
        </is>
      </c>
    </row>
    <row r="14">
      <c r="A14" t="inlineStr">
        <is>
          <t>规则：五维每项 1–3 分；合规红线（无违规内容）只填 通过 / 不通过，不通过直接不合格，不参与平均。</t>
        </is>
      </c>
    </row>
    <row r="15">
      <c r="A15" t="inlineStr">
        <is>
          <t>单条通过：合规红线通过 + 适用维度都填 + 适用维度平均 ≥ 2 + 没有 1 分。</t>
        </is>
      </c>
    </row>
    <row r="16">
      <c r="A16" t="inlineStr">
        <is>
          <t>配音字幕：样本没有配音字幕时「含配音字幕」填 否，配音字幕填 不适用，不参与平均；漫剧和有配音的样本「含配音字幕」填 是，配音字幕必须打 1–3 分。</t>
        </is>
      </c>
    </row>
    <row r="17">
      <c r="A17" t="inlineStr">
        <is>
          <t>旧四维（符合描述 / 质量可用 / 风格一致 / 无违规内容）的历史分数不要抄进本表，也不要换算；见 A 评审原表与 打分表.md。</t>
        </is>
      </c>
    </row>
    <row r="18">
      <c r="A18" t="inlineStr">
        <is>
          <t>对应关系：符合描述→需求符合；风格一致→人物一致；质量可用→画面质量 + 镜头运动；无违规→合规红线（一票否决）。</t>
        </is>
      </c>
    </row>
  </sheetData>
  <conditionalFormatting sqref="M6:M10">
    <cfRule type="cellIs" priority="1" operator="equal" dxfId="0">
      <formula>"通过"</formula>
    </cfRule>
    <cfRule type="expression" priority="2" dxfId="1">
      <formula>LEFT(M6,3)="不通过"</formula>
    </cfRule>
    <cfRule type="cellIs" priority="3" operator="equal" dxfId="2">
      <formula>"填写有误"</formula>
    </cfRule>
  </conditionalFormatting>
  <dataValidations count="4">
    <dataValidation sqref="F6:F10" showDropDown="0" showInputMessage="0" showErrorMessage="1" allowBlank="1" error="填 是 或 否" type="list">
      <formula1>"是,否"</formula1>
    </dataValidation>
    <dataValidation sqref="G6:J10" showDropDown="0" showInputMessage="0" showErrorMessage="1" allowBlank="1" error="填 1、2 或 3 的整数" type="whole" operator="between">
      <formula1>1</formula1>
      <formula2>3</formula2>
    </dataValidation>
    <dataValidation sqref="K6:K10" showDropDown="0" showInputMessage="0" showErrorMessage="1" allowBlank="1" error="填 1、2、3 或 不适用" type="list">
      <formula1>"1,2,3,不适用"</formula1>
    </dataValidation>
    <dataValidation sqref="L6:L10" showDropDown="0" showInputMessage="0" showErrorMessage="1" allowBlank="1" error="只填 通过 或 不通过" type="list">
      <formula1>"通过,不通过"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2026-10-10T16:25:06Z</dcterms:created>
  <dcterms:modified xmlns:dcterms="http://purl.org/dc/terms/" xmlns:xsi="http://www.w3.org/2001/XMLSchema-instance" xsi:type="dcterms:W3CDTF">2026-10-11T05:59:30Z</dcterms:modified>
</cp:coreProperties>
</file>